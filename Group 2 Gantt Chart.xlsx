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mc:AlternateContent xmlns:mc="http://schemas.openxmlformats.org/markup-compatibility/2006">
    <mc:Choice Requires="x15">
      <x15ac:absPath xmlns:x15ac="http://schemas.microsoft.com/office/spreadsheetml/2010/11/ac" url="C:\Users\Connor\Documents\"/>
    </mc:Choice>
  </mc:AlternateContent>
  <xr:revisionPtr revIDLastSave="0" documentId="8_{5AB3CEC0-3869-476F-ABA1-94B8A2A2A61A}" xr6:coauthVersionLast="47" xr6:coauthVersionMax="47" xr10:uidLastSave="{00000000-0000-0000-0000-000000000000}"/>
  <bookViews>
    <workbookView xWindow="-120" yWindow="-120" windowWidth="29040" windowHeight="15840" xr2:uid="{00000000-000D-0000-FFFF-FFFF00000000}"/>
  </bookViews>
  <sheets>
    <sheet name="Project schedule" sheetId="11" r:id="rId1"/>
    <sheet name="About" sheetId="12" r:id="rId2"/>
  </sheets>
  <definedNames>
    <definedName name="Display_Week">'Project schedule'!$P$2</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_xlnm.Print_Titles" localSheetId="0">'Project schedule'!$4:$6</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1" l="1"/>
  <c r="H5" i="11"/>
  <c r="H6" i="11" l="1"/>
  <c r="E11" i="11" a="1"/>
  <c r="E11" i="11" s="1"/>
  <c r="E10" i="11" a="1"/>
  <c r="E10" i="11" s="1"/>
  <c r="G7" i="11"/>
  <c r="H4" i="11" l="1"/>
  <c r="G31" i="11"/>
  <c r="G30" i="11"/>
  <c r="G25" i="11"/>
  <c r="G20" i="11"/>
  <c r="G13" i="11"/>
  <c r="G8" i="11"/>
  <c r="G21" i="11" l="1"/>
  <c r="G22" i="11"/>
  <c r="G9" i="11"/>
  <c r="G26" i="11" l="1"/>
  <c r="G24" i="11"/>
  <c r="G23" i="11"/>
  <c r="G14" i="11"/>
  <c r="I5" i="11"/>
  <c r="J5" i="11" s="1"/>
  <c r="K5" i="11" s="1"/>
  <c r="L5" i="11" s="1"/>
  <c r="M5" i="11" s="1"/>
  <c r="N5" i="11" s="1"/>
  <c r="O5" i="11" s="1"/>
  <c r="G27" i="11" l="1"/>
  <c r="G28" i="11"/>
  <c r="G15" i="11"/>
  <c r="G10" i="11"/>
  <c r="G11" i="11"/>
  <c r="O4" i="11"/>
  <c r="P5" i="11"/>
  <c r="Q5" i="11" s="1"/>
  <c r="R5" i="11" s="1"/>
  <c r="S5" i="11" s="1"/>
  <c r="T5" i="11" s="1"/>
  <c r="U5" i="11" s="1"/>
  <c r="V5" i="11" s="1"/>
  <c r="I6" i="11"/>
  <c r="G18" i="11" l="1"/>
  <c r="G17" i="11"/>
  <c r="G16" i="11"/>
  <c r="V4" i="11"/>
  <c r="W5" i="11"/>
  <c r="X5" i="11" s="1"/>
  <c r="Y5" i="11" s="1"/>
  <c r="Z5" i="11" s="1"/>
  <c r="AA5" i="11" s="1"/>
  <c r="AB5" i="11" s="1"/>
  <c r="AC5" i="11" s="1"/>
  <c r="J6" i="11"/>
  <c r="AD5" i="11" l="1"/>
  <c r="AE5" i="11" s="1"/>
  <c r="AF5" i="11" s="1"/>
  <c r="AG5" i="11" s="1"/>
  <c r="AH5" i="11" s="1"/>
  <c r="AI5" i="11" s="1"/>
  <c r="AC4" i="11"/>
  <c r="K6" i="11"/>
  <c r="AJ5" i="11" l="1"/>
  <c r="L6" i="11"/>
  <c r="AK5" i="11" l="1"/>
  <c r="AL5" i="11" s="1"/>
  <c r="AM5" i="11" s="1"/>
  <c r="AN5" i="11" s="1"/>
  <c r="AO5" i="11" s="1"/>
  <c r="AP5" i="11" s="1"/>
  <c r="AQ5" i="11" s="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<sst xmlns="http://schemas.openxmlformats.org/spreadsheetml/2006/main" count="64" uniqueCount="52">
  <si>
    <t>GEN FITNESS</t>
  </si>
  <si>
    <t>Project start:</t>
  </si>
  <si>
    <t>William Ferris, Jahbari Dessout, Edward Arroyo Diaz, Eliexer Gomez</t>
  </si>
  <si>
    <t>Display week:</t>
  </si>
  <si>
    <t>TASK</t>
  </si>
  <si>
    <t>ASSIGNED TO</t>
  </si>
  <si>
    <t>PROGRESS</t>
  </si>
  <si>
    <t>START</t>
  </si>
  <si>
    <t>END</t>
  </si>
  <si>
    <t>Project initiation</t>
  </si>
  <si>
    <t>Project proposal</t>
  </si>
  <si>
    <t>Edward Arroyo Diaz</t>
  </si>
  <si>
    <t>Gantt chart</t>
  </si>
  <si>
    <t>William Ferris</t>
  </si>
  <si>
    <t>Visual presentation</t>
  </si>
  <si>
    <t>Project presentation</t>
  </si>
  <si>
    <t>Everyone</t>
  </si>
  <si>
    <t>Initial project development</t>
  </si>
  <si>
    <t>Initial website design</t>
  </si>
  <si>
    <t>Jahbari Dessout</t>
  </si>
  <si>
    <t>Github repository setup</t>
  </si>
  <si>
    <t>Form submission</t>
  </si>
  <si>
    <t>Visual presentation #2</t>
  </si>
  <si>
    <t>Edward Arroyo Diaz &amp; Eliexer Gomez</t>
  </si>
  <si>
    <t>Website navigation</t>
  </si>
  <si>
    <t>Jahbari Dessout &amp; William Ferris</t>
  </si>
  <si>
    <t>Project presentation #2</t>
  </si>
  <si>
    <t>Project development midpoint</t>
  </si>
  <si>
    <t>Completion of all webpages</t>
  </si>
  <si>
    <t>Visual presentation #3</t>
  </si>
  <si>
    <t>Additional website scripting</t>
  </si>
  <si>
    <t>Project presentation #3</t>
  </si>
  <si>
    <t>Project finalization</t>
  </si>
  <si>
    <t>Final website tweaks and updates</t>
  </si>
  <si>
    <t>Visual presentation #4</t>
  </si>
  <si>
    <t>Project presentation #4</t>
  </si>
  <si>
    <t>Final fixes, documentation &amp; presentation</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</si>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</sst>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2"/>
      <color theme="9"/>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32" fillId="0" borderId="0" xfId="6" applyFont="1" applyAlignment="1">
      <alignment horizontal="left" vertical="center" indent="1"/>
    </xf>
    <xf numFmtId="0" fontId="19" fillId="3" borderId="0" xfId="12" applyFont="1" applyFill="1" applyBorder="1">
      <alignment horizontal="left" vertical="center" indent="2"/>
    </xf>
    <xf numFmtId="0" fontId="19" fillId="3" borderId="0" xfId="11" applyFont="1" applyFill="1" applyBorder="1" applyAlignment="1">
      <alignment vertical="center"/>
    </xf>
    <xf numFmtId="9" fontId="1" fillId="3" borderId="0" xfId="2" applyFont="1" applyFill="1" applyBorder="1" applyAlignment="1">
      <alignment horizontal="center" vertical="center"/>
    </xf>
    <xf numFmtId="164" fontId="19" fillId="3" borderId="0" xfId="10" applyFont="1" applyFill="1" applyBorder="1">
      <alignment horizontal="center" vertical="center"/>
    </xf>
    <xf numFmtId="0" fontId="4" fillId="0" borderId="0" xfId="0" applyFont="1" applyAlignment="1">
      <alignment horizontal="right" vertical="center"/>
    </xf>
    <xf numFmtId="0" fontId="19" fillId="4" borderId="0" xfId="12" applyFont="1" applyFill="1" applyBorder="1">
      <alignment horizontal="left" vertical="center" indent="2"/>
    </xf>
    <xf numFmtId="0" fontId="19" fillId="4" borderId="0" xfId="11" applyFont="1" applyFill="1" applyBorder="1" applyAlignment="1">
      <alignment vertical="center"/>
    </xf>
    <xf numFmtId="9" fontId="1" fillId="4" borderId="0" xfId="2" applyFont="1" applyFill="1" applyBorder="1" applyAlignment="1">
      <alignment horizontal="center" vertical="center"/>
    </xf>
    <xf numFmtId="164" fontId="19" fillId="4" borderId="0" xfId="10" applyFont="1" applyFill="1" applyBorder="1">
      <alignment horizontal="center" vertical="center"/>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Date" xfId="10" xr:uid="{229918B6-DD13-4F5A-97B9-305F7E002AA3}"/>
    <cellStyle name="Encabezado 1" xfId="6" builtinId="16" customBuiltin="1"/>
    <cellStyle name="Hipervínculo" xfId="1" builtinId="8" customBuiltin="1"/>
    <cellStyle name="Millares" xfId="4" builtinId="3" customBuiltin="1"/>
    <cellStyle name="Name" xfId="11" xr:uid="{B2D3C1EE-6B41-4801-AAFC-C2274E49E503}"/>
    <cellStyle name="Normal" xfId="0" builtinId="0"/>
    <cellStyle name="Porcentaje" xfId="2" builtinId="5"/>
    <cellStyle name="Project Start" xfId="9" xr:uid="{8EB8A09A-C31C-40A3-B2C1-9449520178B8}"/>
    <cellStyle name="Task" xfId="12" xr:uid="{6391D789-272B-4DD2-9BF3-2CDCF610FA41}"/>
    <cellStyle name="Título" xfId="5" builtinId="15" customBuiltin="1"/>
    <cellStyle name="Título 2" xfId="7" builtinId="17" customBuiltin="1"/>
    <cellStyle name="Título 3" xfId="8" builtinId="18"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38585"/>
      <color rgb="FFEE5858"/>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4"/>
  <sheetViews>
    <sheetView showGridLines="0" tabSelected="1" showRuler="0" zoomScaleNormal="100" zoomScalePageLayoutView="70" workbookViewId="0">
      <selection activeCell="B3" sqref="B3"/>
    </sheetView>
  </sheetViews>
  <sheetFormatPr defaultColWidth="8.75" defaultRowHeight="30" customHeight="1"/>
  <cols>
    <col min="1" max="1" width="34.375" customWidth="1"/>
    <col min="2" max="2" width="28.875" customWidth="1"/>
    <col min="3" max="3" width="10.75" customWidth="1"/>
    <col min="4" max="4" width="10.75" style="2" customWidth="1"/>
    <col min="5" max="5" width="10.75" customWidth="1"/>
    <col min="6" max="6" width="2.75" customWidth="1"/>
    <col min="7" max="7" width="0.125" customWidth="1"/>
    <col min="8" max="64" width="2.75" customWidth="1"/>
  </cols>
  <sheetData>
    <row r="1" spans="1:63" ht="90" customHeight="1">
      <c r="A1" s="95" t="s">
        <v>0</v>
      </c>
      <c r="B1" s="16"/>
      <c r="C1" s="17"/>
      <c r="D1" s="18"/>
      <c r="E1" s="19"/>
      <c r="G1" s="1"/>
      <c r="H1" s="119" t="s">
        <v>1</v>
      </c>
      <c r="I1" s="123"/>
      <c r="J1" s="123"/>
      <c r="K1" s="123"/>
      <c r="L1" s="123"/>
      <c r="M1" s="123"/>
      <c r="N1" s="123"/>
      <c r="O1" s="22"/>
      <c r="P1" s="118">
        <v>46272</v>
      </c>
      <c r="Q1" s="124"/>
      <c r="R1" s="124"/>
      <c r="S1" s="124"/>
      <c r="T1" s="124"/>
      <c r="U1" s="124"/>
      <c r="V1" s="124"/>
      <c r="W1" s="124"/>
      <c r="X1" s="124"/>
      <c r="Y1" s="124"/>
    </row>
    <row r="2" spans="1:63" ht="30" customHeight="1">
      <c r="A2" s="103" t="s">
        <v>2</v>
      </c>
      <c r="B2" s="94"/>
      <c r="C2" s="20"/>
      <c r="D2" s="21"/>
      <c r="E2" s="20"/>
      <c r="H2" s="119" t="s">
        <v>3</v>
      </c>
      <c r="I2" s="123"/>
      <c r="J2" s="123"/>
      <c r="K2" s="123"/>
      <c r="L2" s="123"/>
      <c r="M2" s="123"/>
      <c r="N2" s="123"/>
      <c r="O2" s="22"/>
      <c r="P2" s="117">
        <v>1</v>
      </c>
      <c r="Q2" s="124"/>
      <c r="R2" s="124"/>
      <c r="S2" s="124"/>
      <c r="T2" s="124"/>
      <c r="U2" s="124"/>
      <c r="V2" s="124"/>
      <c r="W2" s="124"/>
      <c r="X2" s="124"/>
      <c r="Y2" s="124"/>
    </row>
    <row r="3" spans="1:63" s="24" customFormat="1" ht="30" customHeight="1">
      <c r="A3" s="23"/>
      <c r="C3" s="25"/>
      <c r="D3" s="26"/>
    </row>
    <row r="4" spans="1:63" s="24" customFormat="1" ht="30" customHeight="1">
      <c r="A4" s="27"/>
      <c r="D4" s="28"/>
      <c r="H4" s="115">
        <f>H5</f>
        <v>46272</v>
      </c>
      <c r="I4" s="113"/>
      <c r="J4" s="113"/>
      <c r="K4" s="113"/>
      <c r="L4" s="113"/>
      <c r="M4" s="113"/>
      <c r="N4" s="113"/>
      <c r="O4" s="113">
        <f>O5</f>
        <v>46279</v>
      </c>
      <c r="P4" s="113"/>
      <c r="Q4" s="113"/>
      <c r="R4" s="113"/>
      <c r="S4" s="113"/>
      <c r="T4" s="113"/>
      <c r="U4" s="113"/>
      <c r="V4" s="113">
        <f>V5</f>
        <v>46286</v>
      </c>
      <c r="W4" s="113"/>
      <c r="X4" s="113"/>
      <c r="Y4" s="113"/>
      <c r="Z4" s="113"/>
      <c r="AA4" s="113"/>
      <c r="AB4" s="113"/>
      <c r="AC4" s="113">
        <f>AC5</f>
        <v>46293</v>
      </c>
      <c r="AD4" s="113"/>
      <c r="AE4" s="113"/>
      <c r="AF4" s="113"/>
      <c r="AG4" s="113"/>
      <c r="AH4" s="113"/>
      <c r="AI4" s="113"/>
      <c r="AJ4" s="113">
        <f>AJ5</f>
        <v>46300</v>
      </c>
      <c r="AK4" s="113"/>
      <c r="AL4" s="113"/>
      <c r="AM4" s="113"/>
      <c r="AN4" s="113"/>
      <c r="AO4" s="113"/>
      <c r="AP4" s="113"/>
      <c r="AQ4" s="113">
        <f>AQ5</f>
        <v>46307</v>
      </c>
      <c r="AR4" s="113"/>
      <c r="AS4" s="113"/>
      <c r="AT4" s="113"/>
      <c r="AU4" s="113"/>
      <c r="AV4" s="113"/>
      <c r="AW4" s="113"/>
      <c r="AX4" s="113">
        <f>AX5</f>
        <v>46314</v>
      </c>
      <c r="AY4" s="113"/>
      <c r="AZ4" s="113"/>
      <c r="BA4" s="113"/>
      <c r="BB4" s="113"/>
      <c r="BC4" s="113"/>
      <c r="BD4" s="113"/>
      <c r="BE4" s="113">
        <f>BE5</f>
        <v>46321</v>
      </c>
      <c r="BF4" s="113"/>
      <c r="BG4" s="113"/>
      <c r="BH4" s="113"/>
      <c r="BI4" s="113"/>
      <c r="BJ4" s="113"/>
      <c r="BK4" s="114"/>
    </row>
    <row r="5" spans="1:63" s="24" customFormat="1" ht="15" customHeight="1">
      <c r="A5" s="120" t="s">
        <v>4</v>
      </c>
      <c r="B5" s="122" t="s">
        <v>5</v>
      </c>
      <c r="C5" s="116" t="s">
        <v>6</v>
      </c>
      <c r="D5" s="116" t="s">
        <v>7</v>
      </c>
      <c r="E5" s="116" t="s">
        <v>8</v>
      </c>
      <c r="H5" s="29">
        <f>Project_Start-WEEKDAY(Project_Start,1)+2+7*(Display_Week-1)</f>
        <v>46272</v>
      </c>
      <c r="I5" s="29">
        <f>H5+1</f>
        <v>46273</v>
      </c>
      <c r="J5" s="29">
        <f t="shared" ref="J5:AW5" si="0">I5+1</f>
        <v>46274</v>
      </c>
      <c r="K5" s="29">
        <f t="shared" si="0"/>
        <v>46275</v>
      </c>
      <c r="L5" s="29">
        <f t="shared" si="0"/>
        <v>46276</v>
      </c>
      <c r="M5" s="29">
        <f t="shared" si="0"/>
        <v>46277</v>
      </c>
      <c r="N5" s="30">
        <f t="shared" si="0"/>
        <v>46278</v>
      </c>
      <c r="O5" s="31">
        <f>N5+1</f>
        <v>46279</v>
      </c>
      <c r="P5" s="29">
        <f>O5+1</f>
        <v>46280</v>
      </c>
      <c r="Q5" s="29">
        <f t="shared" si="0"/>
        <v>46281</v>
      </c>
      <c r="R5" s="29">
        <f t="shared" si="0"/>
        <v>46282</v>
      </c>
      <c r="S5" s="29">
        <f t="shared" si="0"/>
        <v>46283</v>
      </c>
      <c r="T5" s="29">
        <f t="shared" si="0"/>
        <v>46284</v>
      </c>
      <c r="U5" s="30">
        <f t="shared" si="0"/>
        <v>46285</v>
      </c>
      <c r="V5" s="31">
        <f>U5+1</f>
        <v>46286</v>
      </c>
      <c r="W5" s="29">
        <f>V5+1</f>
        <v>46287</v>
      </c>
      <c r="X5" s="29">
        <f t="shared" si="0"/>
        <v>46288</v>
      </c>
      <c r="Y5" s="29">
        <f t="shared" si="0"/>
        <v>46289</v>
      </c>
      <c r="Z5" s="29">
        <f t="shared" si="0"/>
        <v>46290</v>
      </c>
      <c r="AA5" s="29">
        <f t="shared" si="0"/>
        <v>46291</v>
      </c>
      <c r="AB5" s="30">
        <f t="shared" si="0"/>
        <v>46292</v>
      </c>
      <c r="AC5" s="31">
        <f>AB5+1</f>
        <v>46293</v>
      </c>
      <c r="AD5" s="29">
        <f>AC5+1</f>
        <v>46294</v>
      </c>
      <c r="AE5" s="29">
        <f t="shared" si="0"/>
        <v>46295</v>
      </c>
      <c r="AF5" s="29">
        <f t="shared" si="0"/>
        <v>46296</v>
      </c>
      <c r="AG5" s="29">
        <f t="shared" si="0"/>
        <v>46297</v>
      </c>
      <c r="AH5" s="29">
        <f t="shared" si="0"/>
        <v>46298</v>
      </c>
      <c r="AI5" s="30">
        <f t="shared" si="0"/>
        <v>46299</v>
      </c>
      <c r="AJ5" s="31">
        <f>AI5+1</f>
        <v>46300</v>
      </c>
      <c r="AK5" s="29">
        <f>AJ5+1</f>
        <v>46301</v>
      </c>
      <c r="AL5" s="29">
        <f t="shared" si="0"/>
        <v>46302</v>
      </c>
      <c r="AM5" s="29">
        <f t="shared" si="0"/>
        <v>46303</v>
      </c>
      <c r="AN5" s="29">
        <f t="shared" si="0"/>
        <v>46304</v>
      </c>
      <c r="AO5" s="29">
        <f t="shared" si="0"/>
        <v>46305</v>
      </c>
      <c r="AP5" s="30">
        <f t="shared" si="0"/>
        <v>46306</v>
      </c>
      <c r="AQ5" s="31">
        <f>AP5+1</f>
        <v>46307</v>
      </c>
      <c r="AR5" s="29">
        <f>AQ5+1</f>
        <v>46308</v>
      </c>
      <c r="AS5" s="29">
        <f t="shared" si="0"/>
        <v>46309</v>
      </c>
      <c r="AT5" s="29">
        <f t="shared" si="0"/>
        <v>46310</v>
      </c>
      <c r="AU5" s="29">
        <f t="shared" si="0"/>
        <v>46311</v>
      </c>
      <c r="AV5" s="29">
        <f t="shared" si="0"/>
        <v>46312</v>
      </c>
      <c r="AW5" s="30">
        <f t="shared" si="0"/>
        <v>46313</v>
      </c>
      <c r="AX5" s="31">
        <f>AW5+1</f>
        <v>46314</v>
      </c>
      <c r="AY5" s="29">
        <f>AX5+1</f>
        <v>46315</v>
      </c>
      <c r="AZ5" s="29">
        <f t="shared" ref="AZ5:BD5" si="1">AY5+1</f>
        <v>46316</v>
      </c>
      <c r="BA5" s="29">
        <f t="shared" si="1"/>
        <v>46317</v>
      </c>
      <c r="BB5" s="29">
        <f t="shared" si="1"/>
        <v>46318</v>
      </c>
      <c r="BC5" s="29">
        <f t="shared" si="1"/>
        <v>46319</v>
      </c>
      <c r="BD5" s="30">
        <f t="shared" si="1"/>
        <v>46320</v>
      </c>
      <c r="BE5" s="31">
        <f>BD5+1</f>
        <v>46321</v>
      </c>
      <c r="BF5" s="29">
        <f>BE5+1</f>
        <v>46322</v>
      </c>
      <c r="BG5" s="29">
        <f t="shared" ref="BG5:BK5" si="2">BF5+1</f>
        <v>46323</v>
      </c>
      <c r="BH5" s="29">
        <f t="shared" si="2"/>
        <v>46324</v>
      </c>
      <c r="BI5" s="29">
        <f t="shared" si="2"/>
        <v>46325</v>
      </c>
      <c r="BJ5" s="29">
        <f t="shared" si="2"/>
        <v>46326</v>
      </c>
      <c r="BK5" s="29">
        <f t="shared" si="2"/>
        <v>46327</v>
      </c>
    </row>
    <row r="6" spans="1:63" s="24" customFormat="1" ht="15" customHeight="1" thickBot="1">
      <c r="A6" s="121"/>
      <c r="B6" s="125"/>
      <c r="C6" s="125"/>
      <c r="D6" s="125"/>
      <c r="E6" s="125"/>
      <c r="H6" s="32" t="str">
        <f t="shared" ref="H6:AM6" si="3">LEFT(TEXT(H5,"ddd"),1)</f>
        <v>M</v>
      </c>
      <c r="I6" s="33" t="str">
        <f t="shared" si="3"/>
        <v>T</v>
      </c>
      <c r="J6" s="33" t="str">
        <f t="shared" si="3"/>
        <v>W</v>
      </c>
      <c r="K6" s="33" t="str">
        <f t="shared" si="3"/>
        <v>T</v>
      </c>
      <c r="L6" s="33" t="str">
        <f t="shared" si="3"/>
        <v>F</v>
      </c>
      <c r="M6" s="33" t="str">
        <f t="shared" si="3"/>
        <v>S</v>
      </c>
      <c r="N6" s="33" t="str">
        <f t="shared" si="3"/>
        <v>S</v>
      </c>
      <c r="O6" s="33" t="str">
        <f t="shared" si="3"/>
        <v>M</v>
      </c>
      <c r="P6" s="33" t="str">
        <f t="shared" si="3"/>
        <v>T</v>
      </c>
      <c r="Q6" s="33" t="str">
        <f t="shared" si="3"/>
        <v>W</v>
      </c>
      <c r="R6" s="33" t="str">
        <f t="shared" si="3"/>
        <v>T</v>
      </c>
      <c r="S6" s="33" t="str">
        <f t="shared" si="3"/>
        <v>F</v>
      </c>
      <c r="T6" s="33" t="str">
        <f t="shared" si="3"/>
        <v>S</v>
      </c>
      <c r="U6" s="33" t="str">
        <f t="shared" si="3"/>
        <v>S</v>
      </c>
      <c r="V6" s="33" t="str">
        <f t="shared" si="3"/>
        <v>M</v>
      </c>
      <c r="W6" s="33" t="str">
        <f t="shared" si="3"/>
        <v>T</v>
      </c>
      <c r="X6" s="33" t="str">
        <f t="shared" si="3"/>
        <v>W</v>
      </c>
      <c r="Y6" s="33" t="str">
        <f t="shared" si="3"/>
        <v>T</v>
      </c>
      <c r="Z6" s="33" t="str">
        <f t="shared" si="3"/>
        <v>F</v>
      </c>
      <c r="AA6" s="33" t="str">
        <f t="shared" si="3"/>
        <v>S</v>
      </c>
      <c r="AB6" s="33" t="str">
        <f t="shared" si="3"/>
        <v>S</v>
      </c>
      <c r="AC6" s="33" t="str">
        <f t="shared" si="3"/>
        <v>M</v>
      </c>
      <c r="AD6" s="33" t="str">
        <f t="shared" si="3"/>
        <v>T</v>
      </c>
      <c r="AE6" s="33" t="str">
        <f t="shared" si="3"/>
        <v>W</v>
      </c>
      <c r="AF6" s="33" t="str">
        <f t="shared" si="3"/>
        <v>T</v>
      </c>
      <c r="AG6" s="33" t="str">
        <f t="shared" si="3"/>
        <v>F</v>
      </c>
      <c r="AH6" s="33" t="str">
        <f t="shared" si="3"/>
        <v>S</v>
      </c>
      <c r="AI6" s="33" t="str">
        <f t="shared" si="3"/>
        <v>S</v>
      </c>
      <c r="AJ6" s="33" t="str">
        <f t="shared" si="3"/>
        <v>M</v>
      </c>
      <c r="AK6" s="33" t="str">
        <f t="shared" si="3"/>
        <v>T</v>
      </c>
      <c r="AL6" s="33" t="str">
        <f t="shared" si="3"/>
        <v>W</v>
      </c>
      <c r="AM6" s="33" t="str">
        <f t="shared" si="3"/>
        <v>T</v>
      </c>
      <c r="AN6" s="33" t="str">
        <f t="shared" ref="AN6:BK6" si="4">LEFT(TEXT(AN5,"ddd"),1)</f>
        <v>F</v>
      </c>
      <c r="AO6" s="33" t="str">
        <f t="shared" si="4"/>
        <v>S</v>
      </c>
      <c r="AP6" s="33" t="str">
        <f t="shared" si="4"/>
        <v>S</v>
      </c>
      <c r="AQ6" s="33" t="str">
        <f t="shared" si="4"/>
        <v>M</v>
      </c>
      <c r="AR6" s="33" t="str">
        <f t="shared" si="4"/>
        <v>T</v>
      </c>
      <c r="AS6" s="33" t="str">
        <f t="shared" si="4"/>
        <v>W</v>
      </c>
      <c r="AT6" s="33" t="str">
        <f t="shared" si="4"/>
        <v>T</v>
      </c>
      <c r="AU6" s="33" t="str">
        <f t="shared" si="4"/>
        <v>F</v>
      </c>
      <c r="AV6" s="33" t="str">
        <f t="shared" si="4"/>
        <v>S</v>
      </c>
      <c r="AW6" s="33" t="str">
        <f t="shared" si="4"/>
        <v>S</v>
      </c>
      <c r="AX6" s="33" t="str">
        <f t="shared" si="4"/>
        <v>M</v>
      </c>
      <c r="AY6" s="33" t="str">
        <f t="shared" si="4"/>
        <v>T</v>
      </c>
      <c r="AZ6" s="33" t="str">
        <f t="shared" si="4"/>
        <v>W</v>
      </c>
      <c r="BA6" s="33" t="str">
        <f t="shared" si="4"/>
        <v>T</v>
      </c>
      <c r="BB6" s="33" t="str">
        <f t="shared" si="4"/>
        <v>F</v>
      </c>
      <c r="BC6" s="33" t="str">
        <f t="shared" si="4"/>
        <v>S</v>
      </c>
      <c r="BD6" s="33" t="str">
        <f t="shared" si="4"/>
        <v>S</v>
      </c>
      <c r="BE6" s="33" t="str">
        <f t="shared" si="4"/>
        <v>M</v>
      </c>
      <c r="BF6" s="33" t="str">
        <f t="shared" si="4"/>
        <v>T</v>
      </c>
      <c r="BG6" s="33" t="str">
        <f t="shared" si="4"/>
        <v>W</v>
      </c>
      <c r="BH6" s="33" t="str">
        <f t="shared" si="4"/>
        <v>T</v>
      </c>
      <c r="BI6" s="33" t="str">
        <f t="shared" si="4"/>
        <v>F</v>
      </c>
      <c r="BJ6" s="33" t="str">
        <f t="shared" si="4"/>
        <v>S</v>
      </c>
      <c r="BK6" s="34" t="str">
        <f t="shared" si="4"/>
        <v>S</v>
      </c>
    </row>
    <row r="7" spans="1:63" s="24" customFormat="1" ht="30" hidden="1" customHeight="1" thickBot="1">
      <c r="A7" s="35"/>
      <c r="B7" s="36"/>
      <c r="C7" s="35"/>
      <c r="D7" s="35"/>
      <c r="E7" s="35"/>
      <c r="G7" s="24" t="str">
        <f ca="1">IF(OR(ISBLANK(task_start),ISBLANK(task_end)),"",task_end-task_start+1)</f>
        <v/>
      </c>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s="44" customFormat="1" ht="30" customHeight="1" thickBot="1">
      <c r="A8" s="38" t="s">
        <v>9</v>
      </c>
      <c r="B8" s="39"/>
      <c r="C8" s="40"/>
      <c r="D8" s="41"/>
      <c r="E8" s="42"/>
      <c r="F8" s="15"/>
      <c r="G8" s="5" t="str">
        <f t="shared" ref="G8:G31" ca="1" si="5">IF(OR(ISBLANK(task_start),ISBLANK(task_end)),"",task_end-task_start+1)</f>
        <v/>
      </c>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row>
    <row r="9" spans="1:63" s="44" customFormat="1" ht="30" customHeight="1" thickBot="1">
      <c r="A9" s="45" t="s">
        <v>10</v>
      </c>
      <c r="B9" s="46" t="s">
        <v>11</v>
      </c>
      <c r="C9" s="47">
        <v>1</v>
      </c>
      <c r="D9" s="48">
        <v>46272</v>
      </c>
      <c r="E9" s="48">
        <v>46282</v>
      </c>
      <c r="F9" s="15"/>
      <c r="G9" s="5">
        <f t="shared" ca="1" si="5"/>
        <v>11</v>
      </c>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row>
    <row r="10" spans="1:63" s="44" customFormat="1" ht="30" customHeight="1" thickBot="1">
      <c r="A10" s="50" t="s">
        <v>12</v>
      </c>
      <c r="B10" s="51" t="s">
        <v>13</v>
      </c>
      <c r="C10" s="52">
        <v>1</v>
      </c>
      <c r="D10" s="53">
        <v>46281</v>
      </c>
      <c r="E10" s="53" cm="1">
        <f t="array" aca="1" ref="E10" ca="1">today</f>
        <v>46282</v>
      </c>
      <c r="F10" s="15"/>
      <c r="G10" s="5">
        <f t="shared" ca="1" si="5"/>
        <v>2</v>
      </c>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row>
    <row r="11" spans="1:63" s="44" customFormat="1" ht="30" customHeight="1" thickBot="1">
      <c r="A11" s="50" t="s">
        <v>14</v>
      </c>
      <c r="B11" s="51" t="s">
        <v>11</v>
      </c>
      <c r="C11" s="52">
        <v>1</v>
      </c>
      <c r="D11" s="53">
        <v>46280</v>
      </c>
      <c r="E11" s="53" cm="1">
        <f t="array" aca="1" ref="E11" ca="1">today</f>
        <v>46282</v>
      </c>
      <c r="F11" s="15"/>
      <c r="G11" s="5">
        <f t="shared" ca="1" si="5"/>
        <v>3</v>
      </c>
      <c r="H11" s="49"/>
      <c r="I11" s="49"/>
      <c r="J11" s="49"/>
      <c r="K11" s="49"/>
      <c r="L11" s="49"/>
      <c r="M11" s="49"/>
      <c r="N11" s="49"/>
      <c r="O11" s="49"/>
      <c r="P11" s="49"/>
      <c r="Q11" s="49"/>
      <c r="R11" s="49"/>
      <c r="S11" s="49"/>
      <c r="T11" s="49"/>
      <c r="U11" s="49"/>
      <c r="V11" s="49"/>
      <c r="W11" s="49"/>
      <c r="X11" s="54"/>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row>
    <row r="12" spans="1:63" s="44" customFormat="1" ht="30" customHeight="1" thickBot="1">
      <c r="A12" s="104" t="s">
        <v>15</v>
      </c>
      <c r="B12" s="105" t="s">
        <v>16</v>
      </c>
      <c r="C12" s="106">
        <v>0.75</v>
      </c>
      <c r="D12" s="107">
        <v>46272</v>
      </c>
      <c r="E12" s="107">
        <v>46282</v>
      </c>
      <c r="F12" s="15"/>
      <c r="G12" s="5"/>
      <c r="X12" s="108"/>
    </row>
    <row r="13" spans="1:63" s="44" customFormat="1" ht="30" customHeight="1" thickBot="1">
      <c r="A13" s="55" t="s">
        <v>17</v>
      </c>
      <c r="B13" s="56"/>
      <c r="C13" s="57"/>
      <c r="D13" s="58"/>
      <c r="E13" s="59"/>
      <c r="F13" s="15"/>
      <c r="G13" s="5" t="str">
        <f t="shared" ca="1" si="5"/>
        <v/>
      </c>
    </row>
    <row r="14" spans="1:63" s="44" customFormat="1" ht="30" customHeight="1" thickBot="1">
      <c r="A14" s="60" t="s">
        <v>18</v>
      </c>
      <c r="B14" s="61" t="s">
        <v>19</v>
      </c>
      <c r="C14" s="62">
        <v>0.8</v>
      </c>
      <c r="D14" s="63">
        <v>46272</v>
      </c>
      <c r="E14" s="63">
        <v>46304</v>
      </c>
      <c r="F14" s="15"/>
      <c r="G14" s="5">
        <f t="shared" ca="1" si="5"/>
        <v>33</v>
      </c>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row>
    <row r="15" spans="1:63" s="44" customFormat="1" ht="30" customHeight="1" thickBot="1">
      <c r="A15" s="60" t="s">
        <v>20</v>
      </c>
      <c r="B15" s="61" t="s">
        <v>19</v>
      </c>
      <c r="C15" s="62">
        <v>1</v>
      </c>
      <c r="D15" s="63">
        <v>46280</v>
      </c>
      <c r="E15" s="63">
        <v>46304</v>
      </c>
      <c r="F15" s="15"/>
      <c r="G15" s="5">
        <f t="shared" ca="1" si="5"/>
        <v>25</v>
      </c>
      <c r="H15" s="49"/>
      <c r="I15" s="49"/>
      <c r="J15" s="49"/>
      <c r="K15" s="49"/>
      <c r="L15" s="49"/>
      <c r="M15" s="49"/>
      <c r="N15" s="49"/>
      <c r="O15" s="49"/>
      <c r="P15" s="49"/>
      <c r="Q15" s="49"/>
      <c r="R15" s="49"/>
      <c r="S15" s="49"/>
      <c r="T15" s="54"/>
      <c r="U15" s="54"/>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row>
    <row r="16" spans="1:63" s="44" customFormat="1" ht="30" customHeight="1" thickBot="1">
      <c r="A16" s="60" t="s">
        <v>21</v>
      </c>
      <c r="B16" s="61" t="s">
        <v>13</v>
      </c>
      <c r="C16" s="62">
        <v>0.75</v>
      </c>
      <c r="D16" s="63">
        <v>46278</v>
      </c>
      <c r="E16" s="63">
        <v>46304</v>
      </c>
      <c r="F16" s="15"/>
      <c r="G16" s="5">
        <f t="shared" ca="1" si="5"/>
        <v>27</v>
      </c>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row>
    <row r="17" spans="1:63" s="44" customFormat="1" ht="30" customHeight="1" thickBot="1">
      <c r="A17" s="60" t="s">
        <v>22</v>
      </c>
      <c r="B17" s="61" t="s">
        <v>23</v>
      </c>
      <c r="C17" s="62">
        <v>0</v>
      </c>
      <c r="D17" s="63">
        <v>46283</v>
      </c>
      <c r="E17" s="63">
        <v>46304</v>
      </c>
      <c r="F17" s="15"/>
      <c r="G17" s="5">
        <f t="shared" ca="1" si="5"/>
        <v>22</v>
      </c>
      <c r="H17" s="49"/>
      <c r="I17" s="49"/>
      <c r="J17" s="49"/>
      <c r="K17" s="49"/>
      <c r="L17" s="49"/>
      <c r="M17" s="49"/>
      <c r="N17" s="49"/>
      <c r="O17" s="49"/>
      <c r="P17" s="49"/>
      <c r="Q17" s="49"/>
      <c r="R17" s="49"/>
      <c r="S17" s="49"/>
      <c r="T17" s="49"/>
      <c r="U17" s="49"/>
      <c r="V17" s="49"/>
      <c r="W17" s="49"/>
      <c r="X17" s="54"/>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row>
    <row r="18" spans="1:63" s="44" customFormat="1" ht="30" customHeight="1" thickBot="1">
      <c r="A18" s="60" t="s">
        <v>24</v>
      </c>
      <c r="B18" s="61" t="s">
        <v>25</v>
      </c>
      <c r="C18" s="62">
        <v>0</v>
      </c>
      <c r="D18" s="63">
        <v>46283</v>
      </c>
      <c r="E18" s="63">
        <v>46304</v>
      </c>
      <c r="F18" s="15"/>
      <c r="G18" s="5">
        <f t="shared" ca="1" si="5"/>
        <v>22</v>
      </c>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row>
    <row r="19" spans="1:63" s="44" customFormat="1" ht="30" customHeight="1" thickBot="1">
      <c r="A19" s="109" t="s">
        <v>26</v>
      </c>
      <c r="B19" s="110" t="s">
        <v>16</v>
      </c>
      <c r="C19" s="111">
        <v>0</v>
      </c>
      <c r="D19" s="112">
        <v>46283</v>
      </c>
      <c r="E19" s="112">
        <v>46304</v>
      </c>
      <c r="F19" s="15"/>
      <c r="G19" s="5"/>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row>
    <row r="20" spans="1:63" s="44" customFormat="1" ht="30" customHeight="1" thickBot="1">
      <c r="A20" s="64" t="s">
        <v>27</v>
      </c>
      <c r="B20" s="65"/>
      <c r="C20" s="66"/>
      <c r="D20" s="67"/>
      <c r="E20" s="68"/>
      <c r="F20" s="15"/>
      <c r="G20" s="5" t="str">
        <f t="shared" ca="1" si="5"/>
        <v/>
      </c>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row>
    <row r="21" spans="1:63" s="44" customFormat="1" ht="30" customHeight="1" thickBot="1">
      <c r="A21" s="70" t="s">
        <v>28</v>
      </c>
      <c r="B21" s="71" t="s">
        <v>19</v>
      </c>
      <c r="C21" s="72">
        <v>0.25</v>
      </c>
      <c r="D21" s="73">
        <v>46305</v>
      </c>
      <c r="E21" s="73">
        <v>46325</v>
      </c>
      <c r="F21" s="15"/>
      <c r="G21" s="5">
        <f t="shared" ca="1" si="5"/>
        <v>21</v>
      </c>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row>
    <row r="22" spans="1:63" s="44" customFormat="1" ht="30" customHeight="1" thickBot="1">
      <c r="A22" s="70" t="s">
        <v>29</v>
      </c>
      <c r="B22" s="71" t="s">
        <v>23</v>
      </c>
      <c r="C22" s="72">
        <v>0</v>
      </c>
      <c r="D22" s="73">
        <v>46305</v>
      </c>
      <c r="E22" s="73">
        <v>46325</v>
      </c>
      <c r="F22" s="15"/>
      <c r="G22" s="5">
        <f t="shared" ca="1" si="5"/>
        <v>21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row>
    <row r="23" spans="1:63" s="44" customFormat="1" ht="30" customHeight="1" thickBot="1">
      <c r="A23" s="70" t="s">
        <v>30</v>
      </c>
      <c r="B23" s="71" t="s">
        <v>13</v>
      </c>
      <c r="C23" s="72">
        <v>0</v>
      </c>
      <c r="D23" s="73">
        <v>46305</v>
      </c>
      <c r="E23" s="73">
        <v>46325</v>
      </c>
      <c r="F23" s="15"/>
      <c r="G23" s="5">
        <f t="shared" ca="1" si="5"/>
        <v>21</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row>
    <row r="24" spans="1:63" s="44" customFormat="1" ht="30" customHeight="1" thickBot="1">
      <c r="A24" s="70" t="s">
        <v>31</v>
      </c>
      <c r="B24" s="71" t="s">
        <v>16</v>
      </c>
      <c r="C24" s="72">
        <v>0</v>
      </c>
      <c r="D24" s="73">
        <v>46305</v>
      </c>
      <c r="E24" s="73">
        <v>46325</v>
      </c>
      <c r="F24" s="15"/>
      <c r="G24" s="5">
        <f t="shared" ca="1" si="5"/>
        <v>21</v>
      </c>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row>
    <row r="25" spans="1:63" s="44" customFormat="1" ht="30" customHeight="1" thickBot="1">
      <c r="A25" s="74" t="s">
        <v>32</v>
      </c>
      <c r="B25" s="75"/>
      <c r="C25" s="76"/>
      <c r="D25" s="77"/>
      <c r="E25" s="78"/>
      <c r="F25" s="15"/>
      <c r="G25" s="5" t="str">
        <f t="shared" ca="1" si="5"/>
        <v/>
      </c>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row>
    <row r="26" spans="1:63" s="44" customFormat="1" ht="30" customHeight="1" thickBot="1">
      <c r="A26" s="80" t="s">
        <v>33</v>
      </c>
      <c r="B26" s="81" t="s">
        <v>19</v>
      </c>
      <c r="C26" s="82">
        <v>0</v>
      </c>
      <c r="D26" s="83">
        <v>46326</v>
      </c>
      <c r="E26" s="83">
        <v>46346</v>
      </c>
      <c r="F26" s="15"/>
      <c r="G26" s="5">
        <f t="shared" ca="1" si="5"/>
        <v>21</v>
      </c>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row>
    <row r="27" spans="1:63" s="44" customFormat="1" ht="30" customHeight="1" thickBot="1">
      <c r="A27" s="80" t="s">
        <v>34</v>
      </c>
      <c r="B27" s="81" t="s">
        <v>23</v>
      </c>
      <c r="C27" s="82">
        <v>0</v>
      </c>
      <c r="D27" s="83">
        <v>46326</v>
      </c>
      <c r="E27" s="83">
        <v>46346</v>
      </c>
      <c r="F27" s="15"/>
      <c r="G27" s="5">
        <f t="shared" ca="1" si="5"/>
        <v>21</v>
      </c>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row>
    <row r="28" spans="1:63" s="44" customFormat="1" ht="30" customHeight="1" thickBot="1">
      <c r="A28" s="80" t="s">
        <v>35</v>
      </c>
      <c r="B28" s="81" t="s">
        <v>16</v>
      </c>
      <c r="C28" s="82">
        <v>0</v>
      </c>
      <c r="D28" s="83">
        <v>46326</v>
      </c>
      <c r="E28" s="83">
        <v>46346</v>
      </c>
      <c r="F28" s="15"/>
      <c r="G28" s="5">
        <f t="shared" ca="1" si="5"/>
        <v>21</v>
      </c>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row>
    <row r="29" spans="1:63" s="44" customFormat="1" ht="30" customHeight="1" thickBot="1">
      <c r="A29" s="80" t="s">
        <v>36</v>
      </c>
      <c r="B29" s="81" t="s">
        <v>16</v>
      </c>
      <c r="C29" s="82">
        <v>0</v>
      </c>
      <c r="D29" s="83">
        <v>46347</v>
      </c>
      <c r="E29" s="83">
        <v>46360</v>
      </c>
      <c r="F29" s="15"/>
      <c r="G29" s="5">
        <f t="shared" ca="1" si="5"/>
        <v>14</v>
      </c>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row>
    <row r="30" spans="1:63" s="44" customFormat="1" ht="30" customHeight="1" thickBot="1">
      <c r="A30" s="84"/>
      <c r="B30" s="85"/>
      <c r="C30" s="86"/>
      <c r="D30" s="87"/>
      <c r="E30" s="87"/>
      <c r="F30" s="15"/>
      <c r="G30" s="5" t="str">
        <f t="shared" ca="1" si="5"/>
        <v/>
      </c>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row>
    <row r="31" spans="1:63" s="44" customFormat="1" ht="30" customHeight="1" thickBot="1">
      <c r="A31" s="88" t="s">
        <v>37</v>
      </c>
      <c r="B31" s="89"/>
      <c r="C31" s="90"/>
      <c r="D31" s="91"/>
      <c r="E31" s="92"/>
      <c r="F31" s="15"/>
      <c r="G31" s="6" t="str">
        <f t="shared" ca="1" si="5"/>
        <v/>
      </c>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row>
    <row r="32" spans="1:63" ht="30" customHeight="1">
      <c r="F32" s="3"/>
    </row>
    <row r="33" spans="2:5" ht="30" customHeight="1">
      <c r="B33" s="14"/>
      <c r="E33" s="13"/>
    </row>
    <row r="34" spans="2:5" ht="30" customHeight="1">
      <c r="B34" s="4"/>
    </row>
  </sheetData>
  <mergeCells count="17">
    <mergeCell ref="A5:A6"/>
    <mergeCell ref="B5:B6"/>
    <mergeCell ref="C5:C6"/>
    <mergeCell ref="D5:D6"/>
    <mergeCell ref="E5:E6"/>
    <mergeCell ref="P2:Y2"/>
    <mergeCell ref="P1:Y1"/>
    <mergeCell ref="H1:N1"/>
    <mergeCell ref="H2:N2"/>
    <mergeCell ref="BE4:BK4"/>
    <mergeCell ref="H4:N4"/>
    <mergeCell ref="O4:U4"/>
    <mergeCell ref="V4:AB4"/>
    <mergeCell ref="AC4:AI4"/>
    <mergeCell ref="AJ4:AP4"/>
    <mergeCell ref="AQ4:AW4"/>
    <mergeCell ref="AX4:BD4"/>
  </mergeCells>
  <conditionalFormatting sqref="C7:C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29">
    <cfRule type="expression" dxfId="8" priority="1">
      <formula>AND(TODAY()&gt;=H$5, TODAY()&lt;I$5)</formula>
    </cfRule>
  </conditionalFormatting>
  <conditionalFormatting sqref="H9:BK12">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4:BK19">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1:BK24">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26:BK29">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P2"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election activeCell="A10" sqref="A10"/>
    </sheetView>
  </sheetViews>
  <sheetFormatPr defaultColWidth="9" defaultRowHeight="12.75"/>
  <cols>
    <col min="1" max="1" width="87" style="7" customWidth="1"/>
    <col min="2" max="16384" width="9" style="1"/>
  </cols>
  <sheetData>
    <row r="1" spans="1:2" ht="46.5" customHeight="1"/>
    <row r="2" spans="1:2" s="9" customFormat="1" ht="15.75">
      <c r="A2" s="96" t="s">
        <v>38</v>
      </c>
      <c r="B2" s="8"/>
    </row>
    <row r="3" spans="1:2" s="11" customFormat="1" ht="27" customHeight="1">
      <c r="A3" s="97"/>
      <c r="B3" s="12"/>
    </row>
    <row r="4" spans="1:2" s="10" customFormat="1" ht="31.5">
      <c r="A4" s="98" t="s">
        <v>39</v>
      </c>
    </row>
    <row r="5" spans="1:2" ht="74.25" customHeight="1">
      <c r="A5" s="99" t="s">
        <v>40</v>
      </c>
    </row>
    <row r="6" spans="1:2" ht="26.25" customHeight="1">
      <c r="A6" s="98" t="s">
        <v>41</v>
      </c>
    </row>
    <row r="7" spans="1:2" s="7" customFormat="1" ht="205.15" customHeight="1">
      <c r="A7" s="100" t="s">
        <v>42</v>
      </c>
    </row>
    <row r="8" spans="1:2" s="10" customFormat="1" ht="31.5">
      <c r="A8" s="98" t="s">
        <v>43</v>
      </c>
    </row>
    <row r="9" spans="1:2" ht="57">
      <c r="A9" s="99" t="s">
        <v>44</v>
      </c>
    </row>
    <row r="10" spans="1:2" s="7" customFormat="1" ht="28.15" customHeight="1">
      <c r="A10" s="101" t="s">
        <v>45</v>
      </c>
    </row>
    <row r="11" spans="1:2" s="10" customFormat="1" ht="31.5">
      <c r="A11" s="98" t="s">
        <v>46</v>
      </c>
    </row>
    <row r="12" spans="1:2" ht="28.5">
      <c r="A12" s="99" t="s">
        <v>47</v>
      </c>
    </row>
    <row r="13" spans="1:2" s="7" customFormat="1" ht="28.15" customHeight="1">
      <c r="A13" s="101" t="s">
        <v>48</v>
      </c>
    </row>
    <row r="14" spans="1:2" s="10" customFormat="1" ht="31.5">
      <c r="A14" s="98" t="s">
        <v>49</v>
      </c>
    </row>
    <row r="15" spans="1:2" ht="75" customHeight="1">
      <c r="A15" s="99" t="s">
        <v>50</v>
      </c>
    </row>
    <row r="16" spans="1:2" ht="71.25">
      <c r="A16" s="99" t="s">
        <v>51</v>
      </c>
    </row>
    <row r="17" spans="1:1">
      <c r="A17" s="102"/>
    </row>
    <row r="18" spans="1:1">
      <c r="A18" s="102"/>
    </row>
    <row r="19" spans="1:1">
      <c r="A19" s="102"/>
    </row>
    <row r="20" spans="1:1">
      <c r="A20" s="102"/>
    </row>
    <row r="21" spans="1:1">
      <c r="A21" s="102"/>
    </row>
    <row r="22" spans="1:1">
      <c r="A22" s="102"/>
    </row>
    <row r="23" spans="1:1">
      <c r="A23" s="102"/>
    </row>
    <row r="24" spans="1:1">
      <c r="A24" s="10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72079d-baf4-4707-8f64-0d9c32ece79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15724CB8C5034CB315F77C5C30EBB1" ma:contentTypeVersion="8" ma:contentTypeDescription="Create a new document." ma:contentTypeScope="" ma:versionID="875a6acfafdf1e507291dcbb3f796150">
  <xsd:schema xmlns:xsd="http://www.w3.org/2001/XMLSchema" xmlns:xs="http://www.w3.org/2001/XMLSchema" xmlns:p="http://schemas.microsoft.com/office/2006/metadata/properties" xmlns:ns2="4072079d-baf4-4707-8f64-0d9c32ece798" targetNamespace="http://schemas.microsoft.com/office/2006/metadata/properties" ma:root="true" ma:fieldsID="7025d793d4f058528076795b576a72d0" ns2:_="">
    <xsd:import namespace="4072079d-baf4-4707-8f64-0d9c32ece7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72079d-baf4-4707-8f64-0d9c32ece7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b6ac8f-c52f-4046-b455-8d0f67d565bb"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ABD6273D-4B6D-49FA-AE90-43F4916F8B74}"/>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Ferris</dc:creator>
  <cp:keywords/>
  <dc:description/>
  <cp:lastModifiedBy>Eliexer Gomez</cp:lastModifiedBy>
  <cp:revision/>
  <dcterms:created xsi:type="dcterms:W3CDTF">2022-03-11T22:41:12Z</dcterms:created>
  <dcterms:modified xsi:type="dcterms:W3CDTF">2026-09-17T15:28:26Z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0x010100DB15724CB8C5034CB315F77C5C30EBB1</vt:lpwstr>
  </property>
  <property fmtid="{D5CDD505-2E9C-101B-9397-08002B2CF9AE}" pid="3" name="MediaServiceImageTags">
    <vt:lpwstr/>
  </property>
</Properties>
</file>